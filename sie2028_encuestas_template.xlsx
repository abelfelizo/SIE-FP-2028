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uestas" sheetId="1" state="visible" r:id="rId1"/>
    <sheet xmlns:r="http://schemas.openxmlformats.org/officeDocument/2006/relationships" name="Provincias_Ref" sheetId="2" state="visible" r:id="rId2"/>
    <sheet xmlns:r="http://schemas.openxmlformats.org/officeDocument/2006/relationships" name="Firmas_Ref" sheetId="3" state="visible" r:id="rId3"/>
    <sheet xmlns:r="http://schemas.openxmlformats.org/officeDocument/2006/relationships" name="Instrucciones_J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B91C1C"/>
      <sz val="9"/>
    </font>
    <font>
      <name val="Arial"/>
      <b val="1"/>
      <color rgb="001D4ED8"/>
      <sz val="9"/>
    </font>
    <font>
      <name val="Arial"/>
      <b val="1"/>
      <color rgb="00FFFFFF"/>
      <sz val="11"/>
    </font>
    <font>
      <name val="Arial"/>
      <b val="1"/>
      <color rgb="00059669"/>
      <sz val="9"/>
    </font>
    <font>
      <name val="Arial"/>
      <b val="1"/>
      <color rgb="00D97706"/>
      <sz val="9"/>
    </font>
    <font>
      <name val="Arial"/>
      <b val="1"/>
      <color rgb="00FFFFFF"/>
      <sz val="12"/>
    </font>
    <font>
      <name val="Arial"/>
      <b val="1"/>
      <color rgb="0064748B"/>
      <sz val="9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1D4ED8"/>
      </patternFill>
    </fill>
    <fill>
      <patternFill patternType="solid">
        <fgColor rgb="00D97706"/>
      </patternFill>
    </fill>
    <fill>
      <patternFill patternType="solid">
        <fgColor rgb="00059669"/>
      </patternFill>
    </fill>
    <fill>
      <patternFill patternType="solid">
        <f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D1FAE5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22" customWidth="1" min="4" max="4"/>
    <col width="14" customWidth="1" min="5" max="5"/>
    <col width="16" customWidth="1" min="6" max="6"/>
    <col width="10" customWidth="1" min="7" max="7"/>
    <col width="10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28" customWidth="1" min="18" max="18"/>
    <col width="30" customWidth="1" min="19" max="19"/>
  </cols>
  <sheetData>
    <row r="1" ht="28" customHeight="1">
      <c r="A1" s="1" t="inlineStr">
        <is>
          <t>SIE 2028 — Registro de Encuestas Electorales</t>
        </is>
      </c>
    </row>
    <row r="2" ht="18" customHeight="1">
      <c r="A2" s="2" t="inlineStr">
        <is>
          <t>Tipos: INTENCION_CANDIDATO → afecta proyección presidencial (Bayesian).  SIMPATIA_PARTIDARIA → afecta proyección legislativa (curules).</t>
        </is>
      </c>
    </row>
    <row r="3" ht="30" customHeight="1">
      <c r="A3" s="3" t="inlineStr">
        <is>
          <t>ID</t>
        </is>
      </c>
      <c r="B3" s="3" t="inlineStr">
        <is>
          <t>Fecha</t>
        </is>
      </c>
      <c r="C3" s="3" t="inlineStr">
        <is>
          <t>Firma
Encuestadora</t>
        </is>
      </c>
      <c r="D3" s="3" t="inlineStr">
        <is>
          <t>Tipo de Dato</t>
        </is>
      </c>
      <c r="E3" s="3" t="inlineStr">
        <is>
          <t>Cobertura</t>
        </is>
      </c>
      <c r="F3" s="3" t="inlineStr">
        <is>
          <t>Provincia
(si provincial)</t>
        </is>
      </c>
      <c r="G3" s="3" t="inlineStr">
        <is>
          <t>Prov ID
(2 dígitos)</t>
        </is>
      </c>
      <c r="H3" s="3" t="inlineStr">
        <is>
          <t>N Muestra</t>
        </is>
      </c>
      <c r="I3" s="3" t="inlineStr">
        <is>
          <t>Calidad
(A+/A/B/C/D)</t>
        </is>
      </c>
      <c r="J3" s="3" t="inlineStr">
        <is>
          <t>PRM %</t>
        </is>
      </c>
      <c r="K3" s="3" t="inlineStr">
        <is>
          <t>FP %</t>
        </is>
      </c>
      <c r="L3" s="3" t="inlineStr">
        <is>
          <t>PLD %</t>
        </is>
      </c>
      <c r="M3" s="3" t="inlineStr">
        <is>
          <t>PRD %</t>
        </is>
      </c>
      <c r="N3" s="3" t="inlineStr">
        <is>
          <t>PCR %</t>
        </is>
      </c>
      <c r="O3" s="3" t="inlineStr">
        <is>
          <t>Indecisos %</t>
        </is>
      </c>
      <c r="P3" s="3" t="inlineStr">
        <is>
          <t>Suma
(auto)</t>
        </is>
      </c>
      <c r="Q3" s="3" t="inlineStr">
        <is>
          <t>Válida
(auto)</t>
        </is>
      </c>
      <c r="R3" s="3" t="inlineStr">
        <is>
          <t>Nota / Metodología</t>
        </is>
      </c>
      <c r="S3" s="3" t="inlineStr">
        <is>
          <t>Fuente URL</t>
        </is>
      </c>
    </row>
    <row r="4">
      <c r="A4" s="4" t="n">
        <v>1</v>
      </c>
      <c r="B4" s="4" t="inlineStr">
        <is>
          <t>2027-03-15</t>
        </is>
      </c>
      <c r="C4" s="4" t="inlineStr">
        <is>
          <t>Gallup RD</t>
        </is>
      </c>
      <c r="D4" s="4" t="inlineStr">
        <is>
          <t>INTENCION_CANDIDATO</t>
        </is>
      </c>
      <c r="E4" s="4" t="inlineStr">
        <is>
          <t>NACIONAL</t>
        </is>
      </c>
      <c r="F4" s="4" t="inlineStr"/>
      <c r="G4" s="4" t="inlineStr"/>
      <c r="H4" s="4" t="n">
        <v>1200</v>
      </c>
      <c r="I4" s="4" t="inlineStr">
        <is>
          <t>A</t>
        </is>
      </c>
      <c r="J4" s="5" t="n">
        <v>52</v>
      </c>
      <c r="K4" s="6" t="n">
        <v>34</v>
      </c>
      <c r="L4" s="7" t="n">
        <v>9</v>
      </c>
      <c r="M4" s="7" t="n">
        <v>2.5</v>
      </c>
      <c r="N4" s="7" t="n">
        <v>1.5</v>
      </c>
      <c r="O4" s="7" t="n">
        <v>1</v>
      </c>
      <c r="P4" s="4">
        <f>J4+K4+L4+M4+N4+O4</f>
        <v/>
      </c>
      <c r="Q4" s="4">
        <f>IF(ABS(P4-100)&lt;1,"✅ OK","⚠️ Revisar")</f>
        <v/>
      </c>
      <c r="R4" s="8" t="inlineStr">
        <is>
          <t>Primera oleada trimestral Q1 2027</t>
        </is>
      </c>
      <c r="S4" s="4" t="inlineStr">
        <is>
          <t>https://gallup.com</t>
        </is>
      </c>
    </row>
    <row r="5">
      <c r="A5" s="9" t="n">
        <v>2</v>
      </c>
      <c r="B5" s="9" t="inlineStr">
        <is>
          <t>2027-03-01</t>
        </is>
      </c>
      <c r="C5" s="9" t="inlineStr">
        <is>
          <t>Gallup RD</t>
        </is>
      </c>
      <c r="D5" s="9" t="inlineStr">
        <is>
          <t>SIMPATIA_PARTIDARIA</t>
        </is>
      </c>
      <c r="E5" s="9" t="inlineStr">
        <is>
          <t>NACIONAL</t>
        </is>
      </c>
      <c r="F5" s="9" t="inlineStr"/>
      <c r="G5" s="9" t="inlineStr"/>
      <c r="H5" s="9" t="n">
        <v>1200</v>
      </c>
      <c r="I5" s="9" t="inlineStr">
        <is>
          <t>A</t>
        </is>
      </c>
      <c r="J5" s="10" t="n">
        <v>48</v>
      </c>
      <c r="K5" s="11" t="n">
        <v>38</v>
      </c>
      <c r="L5" s="12" t="n">
        <v>10</v>
      </c>
      <c r="M5" s="12" t="n">
        <v>2</v>
      </c>
      <c r="N5" s="12" t="n">
        <v>1.5</v>
      </c>
      <c r="O5" s="12" t="n">
        <v>0.5</v>
      </c>
      <c r="P5" s="9">
        <f>J5+K5+L5+M5+N5+O5</f>
        <v/>
      </c>
      <c r="Q5" s="9">
        <f>IF(ABS(P5-100)&lt;1,"✅ OK","⚠️ Revisar")</f>
        <v/>
      </c>
      <c r="R5" s="13" t="inlineStr">
        <is>
          <t>Simpatía partidaria paralela</t>
        </is>
      </c>
      <c r="S5" s="9" t="inlineStr">
        <is>
          <t>https://gallup.com</t>
        </is>
      </c>
    </row>
    <row r="6">
      <c r="A6" s="4" t="n">
        <v>3</v>
      </c>
      <c r="B6" s="4" t="inlineStr">
        <is>
          <t>2027-02-20</t>
        </is>
      </c>
      <c r="C6" s="4" t="inlineStr">
        <is>
          <t>CID-Gallup</t>
        </is>
      </c>
      <c r="D6" s="4" t="inlineStr">
        <is>
          <t>INTENCION_CANDIDATO</t>
        </is>
      </c>
      <c r="E6" s="4" t="inlineStr">
        <is>
          <t>PROVINCIAL</t>
        </is>
      </c>
      <c r="F6" s="4" t="inlineStr">
        <is>
          <t>Distrito Nacional</t>
        </is>
      </c>
      <c r="G6" s="4" t="inlineStr">
        <is>
          <t>01</t>
        </is>
      </c>
      <c r="H6" s="4" t="n">
        <v>400</v>
      </c>
      <c r="I6" s="4" t="inlineStr">
        <is>
          <t>B</t>
        </is>
      </c>
      <c r="J6" s="5" t="n">
        <v>54</v>
      </c>
      <c r="K6" s="6" t="n">
        <v>36</v>
      </c>
      <c r="L6" s="7" t="n">
        <v>7</v>
      </c>
      <c r="M6" s="7" t="n">
        <v>1.5</v>
      </c>
      <c r="N6" s="7" t="n">
        <v>1</v>
      </c>
      <c r="O6" s="7" t="n">
        <v>0.5</v>
      </c>
      <c r="P6" s="4">
        <f>J6+K6+L6+M6+N6+O6</f>
        <v/>
      </c>
      <c r="Q6" s="4">
        <f>IF(ABS(P6-100)&lt;1,"✅ OK","⚠️ Revisar")</f>
        <v/>
      </c>
      <c r="R6" s="8" t="inlineStr">
        <is>
          <t>Encuesta ciudad capital</t>
        </is>
      </c>
      <c r="S6" s="4" t="inlineStr"/>
    </row>
    <row r="7">
      <c r="A7" s="9" t="n">
        <v>4</v>
      </c>
      <c r="B7" s="9" t="inlineStr">
        <is>
          <t>2027-01-10</t>
        </is>
      </c>
      <c r="C7" s="9" t="inlineStr">
        <is>
          <t>Sigma Dos RD</t>
        </is>
      </c>
      <c r="D7" s="9" t="inlineStr">
        <is>
          <t>INTENCION_CANDIDATO</t>
        </is>
      </c>
      <c r="E7" s="9" t="inlineStr">
        <is>
          <t>NACIONAL</t>
        </is>
      </c>
      <c r="F7" s="9" t="inlineStr"/>
      <c r="G7" s="9" t="inlineStr"/>
      <c r="H7" s="9" t="n">
        <v>800</v>
      </c>
      <c r="I7" s="9" t="inlineStr">
        <is>
          <t>B</t>
        </is>
      </c>
      <c r="J7" s="10" t="n">
        <v>54</v>
      </c>
      <c r="K7" s="11" t="n">
        <v>31</v>
      </c>
      <c r="L7" s="12" t="n">
        <v>10</v>
      </c>
      <c r="M7" s="12" t="n">
        <v>3</v>
      </c>
      <c r="N7" s="12" t="n">
        <v>1.5</v>
      </c>
      <c r="O7" s="12" t="n">
        <v>0.5</v>
      </c>
      <c r="P7" s="9">
        <f>J7+K7+L7+M7+N7+O7</f>
        <v/>
      </c>
      <c r="Q7" s="9">
        <f>IF(ABS(P7-100)&lt;1,"✅ OK","⚠️ Revisar")</f>
        <v/>
      </c>
      <c r="R7" s="13" t="inlineStr">
        <is>
          <t>Encuesta enero 2027</t>
        </is>
      </c>
      <c r="S7" s="9" t="inlineStr"/>
    </row>
    <row r="8">
      <c r="A8" s="4">
        <f>IF(C8&lt;&gt;"",COUNTA($C$4:C8),"")</f>
        <v/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7">
        <f>IF(J8&lt;&gt;"",J8+K8+L8+M8+N8+O8,"")</f>
        <v/>
      </c>
      <c r="Q8" s="4">
        <f>IF(P8&lt;&gt;"",IF(ABS(P8-100)&lt;1,"✅ OK","⚠️ Revisar"),"")</f>
        <v/>
      </c>
      <c r="R8" s="4" t="n"/>
      <c r="S8" s="4" t="n"/>
    </row>
    <row r="9">
      <c r="A9" s="9">
        <f>IF(C9&lt;&gt;"",COUNTA($C$4:C9),"")</f>
        <v/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12">
        <f>IF(J9&lt;&gt;"",J9+K9+L9+M9+N9+O9,"")</f>
        <v/>
      </c>
      <c r="Q9" s="9">
        <f>IF(P9&lt;&gt;"",IF(ABS(P9-100)&lt;1,"✅ OK","⚠️ Revisar"),"")</f>
        <v/>
      </c>
      <c r="R9" s="9" t="n"/>
      <c r="S9" s="9" t="n"/>
    </row>
    <row r="10">
      <c r="A10" s="4">
        <f>IF(C10&lt;&gt;"",COUNTA($C$4:C10),"")</f>
        <v/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7">
        <f>IF(J10&lt;&gt;"",J10+K10+L10+M10+N10+O10,"")</f>
        <v/>
      </c>
      <c r="Q10" s="4">
        <f>IF(P10&lt;&gt;"",IF(ABS(P10-100)&lt;1,"✅ OK","⚠️ Revisar"),"")</f>
        <v/>
      </c>
      <c r="R10" s="4" t="n"/>
      <c r="S10" s="4" t="n"/>
    </row>
    <row r="11">
      <c r="A11" s="9">
        <f>IF(C11&lt;&gt;"",COUNTA($C$4:C11),"")</f>
        <v/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2">
        <f>IF(J11&lt;&gt;"",J11+K11+L11+M11+N11+O11,"")</f>
        <v/>
      </c>
      <c r="Q11" s="9">
        <f>IF(P11&lt;&gt;"",IF(ABS(P11-100)&lt;1,"✅ OK","⚠️ Revisar"),"")</f>
        <v/>
      </c>
      <c r="R11" s="9" t="n"/>
      <c r="S11" s="9" t="n"/>
    </row>
    <row r="12">
      <c r="A12" s="4">
        <f>IF(C12&lt;&gt;"",COUNTA($C$4:C12),"")</f>
        <v/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7">
        <f>IF(J12&lt;&gt;"",J12+K12+L12+M12+N12+O12,"")</f>
        <v/>
      </c>
      <c r="Q12" s="4">
        <f>IF(P12&lt;&gt;"",IF(ABS(P12-100)&lt;1,"✅ OK","⚠️ Revisar"),"")</f>
        <v/>
      </c>
      <c r="R12" s="4" t="n"/>
      <c r="S12" s="4" t="n"/>
    </row>
    <row r="13">
      <c r="A13" s="9">
        <f>IF(C13&lt;&gt;"",COUNTA($C$4:C13),"")</f>
        <v/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2">
        <f>IF(J13&lt;&gt;"",J13+K13+L13+M13+N13+O13,"")</f>
        <v/>
      </c>
      <c r="Q13" s="9">
        <f>IF(P13&lt;&gt;"",IF(ABS(P13-100)&lt;1,"✅ OK","⚠️ Revisar"),"")</f>
        <v/>
      </c>
      <c r="R13" s="9" t="n"/>
      <c r="S13" s="9" t="n"/>
    </row>
    <row r="14">
      <c r="A14" s="4">
        <f>IF(C14&lt;&gt;"",COUNTA($C$4:C14),"")</f>
        <v/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7">
        <f>IF(J14&lt;&gt;"",J14+K14+L14+M14+N14+O14,"")</f>
        <v/>
      </c>
      <c r="Q14" s="4">
        <f>IF(P14&lt;&gt;"",IF(ABS(P14-100)&lt;1,"✅ OK","⚠️ Revisar"),"")</f>
        <v/>
      </c>
      <c r="R14" s="4" t="n"/>
      <c r="S14" s="4" t="n"/>
    </row>
    <row r="15">
      <c r="A15" s="9">
        <f>IF(C15&lt;&gt;"",COUNTA($C$4:C15),"")</f>
        <v/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2">
        <f>IF(J15&lt;&gt;"",J15+K15+L15+M15+N15+O15,"")</f>
        <v/>
      </c>
      <c r="Q15" s="9">
        <f>IF(P15&lt;&gt;"",IF(ABS(P15-100)&lt;1,"✅ OK","⚠️ Revisar"),"")</f>
        <v/>
      </c>
      <c r="R15" s="9" t="n"/>
      <c r="S15" s="9" t="n"/>
    </row>
    <row r="16">
      <c r="A16" s="4">
        <f>IF(C16&lt;&gt;"",COUNTA($C$4:C16),"")</f>
        <v/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7">
        <f>IF(J16&lt;&gt;"",J16+K16+L16+M16+N16+O16,"")</f>
        <v/>
      </c>
      <c r="Q16" s="4">
        <f>IF(P16&lt;&gt;"",IF(ABS(P16-100)&lt;1,"✅ OK","⚠️ Revisar"),"")</f>
        <v/>
      </c>
      <c r="R16" s="4" t="n"/>
      <c r="S16" s="4" t="n"/>
    </row>
    <row r="17">
      <c r="A17" s="9">
        <f>IF(C17&lt;&gt;"",COUNTA($C$4:C17),"")</f>
        <v/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2">
        <f>IF(J17&lt;&gt;"",J17+K17+L17+M17+N17+O17,"")</f>
        <v/>
      </c>
      <c r="Q17" s="9">
        <f>IF(P17&lt;&gt;"",IF(ABS(P17-100)&lt;1,"✅ OK","⚠️ Revisar"),"")</f>
        <v/>
      </c>
      <c r="R17" s="9" t="n"/>
      <c r="S17" s="9" t="n"/>
    </row>
    <row r="18">
      <c r="A18" s="4">
        <f>IF(C18&lt;&gt;"",COUNTA($C$4:C18),"")</f>
        <v/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7">
        <f>IF(J18&lt;&gt;"",J18+K18+L18+M18+N18+O18,"")</f>
        <v/>
      </c>
      <c r="Q18" s="4">
        <f>IF(P18&lt;&gt;"",IF(ABS(P18-100)&lt;1,"✅ OK","⚠️ Revisar"),"")</f>
        <v/>
      </c>
      <c r="R18" s="4" t="n"/>
      <c r="S18" s="4" t="n"/>
    </row>
    <row r="19">
      <c r="A19" s="9">
        <f>IF(C19&lt;&gt;"",COUNTA($C$4:C19),"")</f>
        <v/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2">
        <f>IF(J19&lt;&gt;"",J19+K19+L19+M19+N19+O19,"")</f>
        <v/>
      </c>
      <c r="Q19" s="9">
        <f>IF(P19&lt;&gt;"",IF(ABS(P19-100)&lt;1,"✅ OK","⚠️ Revisar"),"")</f>
        <v/>
      </c>
      <c r="R19" s="9" t="n"/>
      <c r="S19" s="9" t="n"/>
    </row>
    <row r="20">
      <c r="A20" s="4">
        <f>IF(C20&lt;&gt;"",COUNTA($C$4:C20),"")</f>
        <v/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7">
        <f>IF(J20&lt;&gt;"",J20+K20+L20+M20+N20+O20,"")</f>
        <v/>
      </c>
      <c r="Q20" s="4">
        <f>IF(P20&lt;&gt;"",IF(ABS(P20-100)&lt;1,"✅ OK","⚠️ Revisar"),"")</f>
        <v/>
      </c>
      <c r="R20" s="4" t="n"/>
      <c r="S20" s="4" t="n"/>
    </row>
    <row r="21">
      <c r="A21" s="9">
        <f>IF(C21&lt;&gt;"",COUNTA($C$4:C21),"")</f>
        <v/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2">
        <f>IF(J21&lt;&gt;"",J21+K21+L21+M21+N21+O21,"")</f>
        <v/>
      </c>
      <c r="Q21" s="9">
        <f>IF(P21&lt;&gt;"",IF(ABS(P21-100)&lt;1,"✅ OK","⚠️ Revisar"),"")</f>
        <v/>
      </c>
      <c r="R21" s="9" t="n"/>
      <c r="S21" s="9" t="n"/>
    </row>
    <row r="22">
      <c r="A22" s="4">
        <f>IF(C22&lt;&gt;"",COUNTA($C$4:C22),"")</f>
        <v/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7">
        <f>IF(J22&lt;&gt;"",J22+K22+L22+M22+N22+O22,"")</f>
        <v/>
      </c>
      <c r="Q22" s="4">
        <f>IF(P22&lt;&gt;"",IF(ABS(P22-100)&lt;1,"✅ OK","⚠️ Revisar"),"")</f>
        <v/>
      </c>
      <c r="R22" s="4" t="n"/>
      <c r="S22" s="4" t="n"/>
    </row>
    <row r="23">
      <c r="A23" s="9">
        <f>IF(C23&lt;&gt;"",COUNTA($C$4:C23),"")</f>
        <v/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2">
        <f>IF(J23&lt;&gt;"",J23+K23+L23+M23+N23+O23,"")</f>
        <v/>
      </c>
      <c r="Q23" s="9">
        <f>IF(P23&lt;&gt;"",IF(ABS(P23-100)&lt;1,"✅ OK","⚠️ Revisar"),"")</f>
        <v/>
      </c>
      <c r="R23" s="9" t="n"/>
      <c r="S23" s="9" t="n"/>
    </row>
    <row r="24">
      <c r="A24" s="4">
        <f>IF(C24&lt;&gt;"",COUNTA($C$4:C24),"")</f>
        <v/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7">
        <f>IF(J24&lt;&gt;"",J24+K24+L24+M24+N24+O24,"")</f>
        <v/>
      </c>
      <c r="Q24" s="4">
        <f>IF(P24&lt;&gt;"",IF(ABS(P24-100)&lt;1,"✅ OK","⚠️ Revisar"),"")</f>
        <v/>
      </c>
      <c r="R24" s="4" t="n"/>
      <c r="S24" s="4" t="n"/>
    </row>
    <row r="25">
      <c r="A25" s="9">
        <f>IF(C25&lt;&gt;"",COUNTA($C$4:C25),"")</f>
        <v/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2">
        <f>IF(J25&lt;&gt;"",J25+K25+L25+M25+N25+O25,"")</f>
        <v/>
      </c>
      <c r="Q25" s="9">
        <f>IF(P25&lt;&gt;"",IF(ABS(P25-100)&lt;1,"✅ OK","⚠️ Revisar"),"")</f>
        <v/>
      </c>
      <c r="R25" s="9" t="n"/>
      <c r="S25" s="9" t="n"/>
    </row>
    <row r="26">
      <c r="A26" s="4">
        <f>IF(C26&lt;&gt;"",COUNTA($C$4:C26),"")</f>
        <v/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7">
        <f>IF(J26&lt;&gt;"",J26+K26+L26+M26+N26+O26,"")</f>
        <v/>
      </c>
      <c r="Q26" s="4">
        <f>IF(P26&lt;&gt;"",IF(ABS(P26-100)&lt;1,"✅ OK","⚠️ Revisar"),"")</f>
        <v/>
      </c>
      <c r="R26" s="4" t="n"/>
      <c r="S26" s="4" t="n"/>
    </row>
    <row r="27">
      <c r="A27" s="9">
        <f>IF(C27&lt;&gt;"",COUNTA($C$4:C27),"")</f>
        <v/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2">
        <f>IF(J27&lt;&gt;"",J27+K27+L27+M27+N27+O27,"")</f>
        <v/>
      </c>
      <c r="Q27" s="9">
        <f>IF(P27&lt;&gt;"",IF(ABS(P27-100)&lt;1,"✅ OK","⚠️ Revisar"),"")</f>
        <v/>
      </c>
      <c r="R27" s="9" t="n"/>
      <c r="S27" s="9" t="n"/>
    </row>
    <row r="28">
      <c r="A28" s="4">
        <f>IF(C28&lt;&gt;"",COUNTA($C$4:C28),"")</f>
        <v/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7">
        <f>IF(J28&lt;&gt;"",J28+K28+L28+M28+N28+O28,"")</f>
        <v/>
      </c>
      <c r="Q28" s="4">
        <f>IF(P28&lt;&gt;"",IF(ABS(P28-100)&lt;1,"✅ OK","⚠️ Revisar"),"")</f>
        <v/>
      </c>
      <c r="R28" s="4" t="n"/>
      <c r="S28" s="4" t="n"/>
    </row>
    <row r="29">
      <c r="A29" s="9">
        <f>IF(C29&lt;&gt;"",COUNTA($C$4:C29),"")</f>
        <v/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12">
        <f>IF(J29&lt;&gt;"",J29+K29+L29+M29+N29+O29,"")</f>
        <v/>
      </c>
      <c r="Q29" s="9">
        <f>IF(P29&lt;&gt;"",IF(ABS(P29-100)&lt;1,"✅ OK","⚠️ Revisar"),"")</f>
        <v/>
      </c>
      <c r="R29" s="9" t="n"/>
      <c r="S29" s="9" t="n"/>
    </row>
    <row r="30">
      <c r="A30" s="4">
        <f>IF(C30&lt;&gt;"",COUNTA($C$4:C30),"")</f>
        <v/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7">
        <f>IF(J30&lt;&gt;"",J30+K30+L30+M30+N30+O30,"")</f>
        <v/>
      </c>
      <c r="Q30" s="4">
        <f>IF(P30&lt;&gt;"",IF(ABS(P30-100)&lt;1,"✅ OK","⚠️ Revisar"),"")</f>
        <v/>
      </c>
      <c r="R30" s="4" t="n"/>
      <c r="S30" s="4" t="n"/>
    </row>
    <row r="31">
      <c r="A31" s="9">
        <f>IF(C31&lt;&gt;"",COUNTA($C$4:C31),"")</f>
        <v/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2">
        <f>IF(J31&lt;&gt;"",J31+K31+L31+M31+N31+O31,"")</f>
        <v/>
      </c>
      <c r="Q31" s="9">
        <f>IF(P31&lt;&gt;"",IF(ABS(P31-100)&lt;1,"✅ OK","⚠️ Revisar"),"")</f>
        <v/>
      </c>
      <c r="R31" s="9" t="n"/>
      <c r="S31" s="9" t="n"/>
    </row>
    <row r="32">
      <c r="A32" s="4">
        <f>IF(C32&lt;&gt;"",COUNTA($C$4:C32),"")</f>
        <v/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7">
        <f>IF(J32&lt;&gt;"",J32+K32+L32+M32+N32+O32,"")</f>
        <v/>
      </c>
      <c r="Q32" s="4">
        <f>IF(P32&lt;&gt;"",IF(ABS(P32-100)&lt;1,"✅ OK","⚠️ Revisar"),"")</f>
        <v/>
      </c>
      <c r="R32" s="4" t="n"/>
      <c r="S32" s="4" t="n"/>
    </row>
    <row r="33">
      <c r="A33" s="9">
        <f>IF(C33&lt;&gt;"",COUNTA($C$4:C33),"")</f>
        <v/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2">
        <f>IF(J33&lt;&gt;"",J33+K33+L33+M33+N33+O33,"")</f>
        <v/>
      </c>
      <c r="Q33" s="9">
        <f>IF(P33&lt;&gt;"",IF(ABS(P33-100)&lt;1,"✅ OK","⚠️ Revisar"),"")</f>
        <v/>
      </c>
      <c r="R33" s="9" t="n"/>
      <c r="S33" s="9" t="n"/>
    </row>
    <row r="34">
      <c r="A34" s="4">
        <f>IF(C34&lt;&gt;"",COUNTA($C$4:C34),"")</f>
        <v/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7">
        <f>IF(J34&lt;&gt;"",J34+K34+L34+M34+N34+O34,"")</f>
        <v/>
      </c>
      <c r="Q34" s="4">
        <f>IF(P34&lt;&gt;"",IF(ABS(P34-100)&lt;1,"✅ OK","⚠️ Revisar"),"")</f>
        <v/>
      </c>
      <c r="R34" s="4" t="n"/>
      <c r="S34" s="4" t="n"/>
    </row>
    <row r="35">
      <c r="A35" s="9">
        <f>IF(C35&lt;&gt;"",COUNTA($C$4:C35),"")</f>
        <v/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2">
        <f>IF(J35&lt;&gt;"",J35+K35+L35+M35+N35+O35,"")</f>
        <v/>
      </c>
      <c r="Q35" s="9">
        <f>IF(P35&lt;&gt;"",IF(ABS(P35-100)&lt;1,"✅ OK","⚠️ Revisar"),"")</f>
        <v/>
      </c>
      <c r="R35" s="9" t="n"/>
      <c r="S35" s="9" t="n"/>
    </row>
    <row r="36">
      <c r="A36" s="4">
        <f>IF(C36&lt;&gt;"",COUNTA($C$4:C36),"")</f>
        <v/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7">
        <f>IF(J36&lt;&gt;"",J36+K36+L36+M36+N36+O36,"")</f>
        <v/>
      </c>
      <c r="Q36" s="4">
        <f>IF(P36&lt;&gt;"",IF(ABS(P36-100)&lt;1,"✅ OK","⚠️ Revisar"),"")</f>
        <v/>
      </c>
      <c r="R36" s="4" t="n"/>
      <c r="S36" s="4" t="n"/>
    </row>
    <row r="37">
      <c r="A37" s="9">
        <f>IF(C37&lt;&gt;"",COUNTA($C$4:C37),"")</f>
        <v/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2">
        <f>IF(J37&lt;&gt;"",J37+K37+L37+M37+N37+O37,"")</f>
        <v/>
      </c>
      <c r="Q37" s="9">
        <f>IF(P37&lt;&gt;"",IF(ABS(P37-100)&lt;1,"✅ OK","⚠️ Revisar"),"")</f>
        <v/>
      </c>
      <c r="R37" s="9" t="n"/>
      <c r="S37" s="9" t="n"/>
    </row>
    <row r="38">
      <c r="A38" s="4">
        <f>IF(C38&lt;&gt;"",COUNTA($C$4:C38),"")</f>
        <v/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7">
        <f>IF(J38&lt;&gt;"",J38+K38+L38+M38+N38+O38,"")</f>
        <v/>
      </c>
      <c r="Q38" s="4">
        <f>IF(P38&lt;&gt;"",IF(ABS(P38-100)&lt;1,"✅ OK","⚠️ Revisar"),"")</f>
        <v/>
      </c>
      <c r="R38" s="4" t="n"/>
      <c r="S38" s="4" t="n"/>
    </row>
    <row r="39">
      <c r="A39" s="9">
        <f>IF(C39&lt;&gt;"",COUNTA($C$4:C39),"")</f>
        <v/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12">
        <f>IF(J39&lt;&gt;"",J39+K39+L39+M39+N39+O39,"")</f>
        <v/>
      </c>
      <c r="Q39" s="9">
        <f>IF(P39&lt;&gt;"",IF(ABS(P39-100)&lt;1,"✅ OK","⚠️ Revisar"),"")</f>
        <v/>
      </c>
      <c r="R39" s="9" t="n"/>
      <c r="S39" s="9" t="n"/>
    </row>
    <row r="40">
      <c r="A40" s="4">
        <f>IF(C40&lt;&gt;"",COUNTA($C$4:C40),"")</f>
        <v/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7">
        <f>IF(J40&lt;&gt;"",J40+K40+L40+M40+N40+O40,"")</f>
        <v/>
      </c>
      <c r="Q40" s="4">
        <f>IF(P40&lt;&gt;"",IF(ABS(P40-100)&lt;1,"✅ OK","⚠️ Revisar"),"")</f>
        <v/>
      </c>
      <c r="R40" s="4" t="n"/>
      <c r="S40" s="4" t="n"/>
    </row>
    <row r="41">
      <c r="A41" s="9">
        <f>IF(C41&lt;&gt;"",COUNTA($C$4:C41),"")</f>
        <v/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2">
        <f>IF(J41&lt;&gt;"",J41+K41+L41+M41+N41+O41,"")</f>
        <v/>
      </c>
      <c r="Q41" s="9">
        <f>IF(P41&lt;&gt;"",IF(ABS(P41-100)&lt;1,"✅ OK","⚠️ Revisar"),"")</f>
        <v/>
      </c>
      <c r="R41" s="9" t="n"/>
      <c r="S41" s="9" t="n"/>
    </row>
    <row r="42">
      <c r="A42" s="4">
        <f>IF(C42&lt;&gt;"",COUNTA($C$4:C42),"")</f>
        <v/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7">
        <f>IF(J42&lt;&gt;"",J42+K42+L42+M42+N42+O42,"")</f>
        <v/>
      </c>
      <c r="Q42" s="4">
        <f>IF(P42&lt;&gt;"",IF(ABS(P42-100)&lt;1,"✅ OK","⚠️ Revisar"),"")</f>
        <v/>
      </c>
      <c r="R42" s="4" t="n"/>
      <c r="S42" s="4" t="n"/>
    </row>
    <row r="43">
      <c r="A43" s="9">
        <f>IF(C43&lt;&gt;"",COUNTA($C$4:C43),"")</f>
        <v/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2">
        <f>IF(J43&lt;&gt;"",J43+K43+L43+M43+N43+O43,"")</f>
        <v/>
      </c>
      <c r="Q43" s="9">
        <f>IF(P43&lt;&gt;"",IF(ABS(P43-100)&lt;1,"✅ OK","⚠️ Revisar"),"")</f>
        <v/>
      </c>
      <c r="R43" s="9" t="n"/>
      <c r="S43" s="9" t="n"/>
    </row>
    <row r="44">
      <c r="A44" s="4">
        <f>IF(C44&lt;&gt;"",COUNTA($C$4:C44),"")</f>
        <v/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7">
        <f>IF(J44&lt;&gt;"",J44+K44+L44+M44+N44+O44,"")</f>
        <v/>
      </c>
      <c r="Q44" s="4">
        <f>IF(P44&lt;&gt;"",IF(ABS(P44-100)&lt;1,"✅ OK","⚠️ Revisar"),"")</f>
        <v/>
      </c>
      <c r="R44" s="4" t="n"/>
      <c r="S44" s="4" t="n"/>
    </row>
    <row r="45">
      <c r="A45" s="9">
        <f>IF(C45&lt;&gt;"",COUNTA($C$4:C45),"")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2">
        <f>IF(J45&lt;&gt;"",J45+K45+L45+M45+N45+O45,"")</f>
        <v/>
      </c>
      <c r="Q45" s="9">
        <f>IF(P45&lt;&gt;"",IF(ABS(P45-100)&lt;1,"✅ OK","⚠️ Revisar"),"")</f>
        <v/>
      </c>
      <c r="R45" s="9" t="n"/>
      <c r="S45" s="9" t="n"/>
    </row>
    <row r="46">
      <c r="A46" s="4">
        <f>IF(C46&lt;&gt;"",COUNTA($C$4:C46),"")</f>
        <v/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7">
        <f>IF(J46&lt;&gt;"",J46+K46+L46+M46+N46+O46,"")</f>
        <v/>
      </c>
      <c r="Q46" s="4">
        <f>IF(P46&lt;&gt;"",IF(ABS(P46-100)&lt;1,"✅ OK","⚠️ Revisar"),"")</f>
        <v/>
      </c>
      <c r="R46" s="4" t="n"/>
      <c r="S46" s="4" t="n"/>
    </row>
    <row r="47">
      <c r="A47" s="9">
        <f>IF(C47&lt;&gt;"",COUNTA($C$4:C47),"")</f>
        <v/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2">
        <f>IF(J47&lt;&gt;"",J47+K47+L47+M47+N47+O47,"")</f>
        <v/>
      </c>
      <c r="Q47" s="9">
        <f>IF(P47&lt;&gt;"",IF(ABS(P47-100)&lt;1,"✅ OK","⚠️ Revisar"),"")</f>
        <v/>
      </c>
      <c r="R47" s="9" t="n"/>
      <c r="S47" s="9" t="n"/>
    </row>
    <row r="48">
      <c r="A48" s="4">
        <f>IF(C48&lt;&gt;"",COUNTA($C$4:C48),"")</f>
        <v/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7">
        <f>IF(J48&lt;&gt;"",J48+K48+L48+M48+N48+O48,"")</f>
        <v/>
      </c>
      <c r="Q48" s="4">
        <f>IF(P48&lt;&gt;"",IF(ABS(P48-100)&lt;1,"✅ OK","⚠️ Revisar"),"")</f>
        <v/>
      </c>
      <c r="R48" s="4" t="n"/>
      <c r="S48" s="4" t="n"/>
    </row>
    <row r="49">
      <c r="A49" s="9">
        <f>IF(C49&lt;&gt;"",COUNTA($C$4:C49),"")</f>
        <v/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2">
        <f>IF(J49&lt;&gt;"",J49+K49+L49+M49+N49+O49,"")</f>
        <v/>
      </c>
      <c r="Q49" s="9">
        <f>IF(P49&lt;&gt;"",IF(ABS(P49-100)&lt;1,"✅ OK","⚠️ Revisar"),"")</f>
        <v/>
      </c>
      <c r="R49" s="9" t="n"/>
      <c r="S49" s="9" t="n"/>
    </row>
    <row r="50">
      <c r="A50" s="4">
        <f>IF(C50&lt;&gt;"",COUNTA($C$4:C50),"")</f>
        <v/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7">
        <f>IF(J50&lt;&gt;"",J50+K50+L50+M50+N50+O50,"")</f>
        <v/>
      </c>
      <c r="Q50" s="4">
        <f>IF(P50&lt;&gt;"",IF(ABS(P50-100)&lt;1,"✅ OK","⚠️ Revisar"),"")</f>
        <v/>
      </c>
      <c r="R50" s="4" t="n"/>
      <c r="S50" s="4" t="n"/>
    </row>
    <row r="51">
      <c r="A51" s="9">
        <f>IF(C51&lt;&gt;"",COUNTA($C$4:C51),"")</f>
        <v/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2">
        <f>IF(J51&lt;&gt;"",J51+K51+L51+M51+N51+O51,"")</f>
        <v/>
      </c>
      <c r="Q51" s="9">
        <f>IF(P51&lt;&gt;"",IF(ABS(P51-100)&lt;1,"✅ OK","⚠️ Revisar"),"")</f>
        <v/>
      </c>
      <c r="R51" s="9" t="n"/>
      <c r="S51" s="9" t="n"/>
    </row>
    <row r="52">
      <c r="A52" s="4">
        <f>IF(C52&lt;&gt;"",COUNTA($C$4:C52),"")</f>
        <v/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7">
        <f>IF(J52&lt;&gt;"",J52+K52+L52+M52+N52+O52,"")</f>
        <v/>
      </c>
      <c r="Q52" s="4">
        <f>IF(P52&lt;&gt;"",IF(ABS(P52-100)&lt;1,"✅ OK","⚠️ Revisar"),"")</f>
        <v/>
      </c>
      <c r="R52" s="4" t="n"/>
      <c r="S52" s="4" t="n"/>
    </row>
    <row r="53">
      <c r="A53" s="9">
        <f>IF(C53&lt;&gt;"",COUNTA($C$4:C53),"")</f>
        <v/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2">
        <f>IF(J53&lt;&gt;"",J53+K53+L53+M53+N53+O53,"")</f>
        <v/>
      </c>
      <c r="Q53" s="9">
        <f>IF(P53&lt;&gt;"",IF(ABS(P53-100)&lt;1,"✅ OK","⚠️ Revisar"),"")</f>
        <v/>
      </c>
      <c r="R53" s="9" t="n"/>
      <c r="S53" s="9" t="n"/>
    </row>
  </sheetData>
  <mergeCells count="2">
    <mergeCell ref="A2:S2"/>
    <mergeCell ref="A1:S1"/>
  </mergeCells>
  <conditionalFormatting sqref="P4:P200">
    <cfRule type="cellIs" priority="1" operator="between" dxfId="0">
      <formula>99</formula>
      <formula>101</formula>
    </cfRule>
    <cfRule type="cellIs" priority="2" operator="notBetween" dxfId="1">
      <formula>99</formula>
      <formula>101</formula>
    </cfRule>
  </conditionalFormatting>
  <dataValidations count="4">
    <dataValidation sqref="D4:D200" showDropDown="0" showInputMessage="0" showErrorMessage="1" allowBlank="0" errorTitle="Tipo inválido" error="Use INTENCION_CANDIDATO o SIMPATIA_PARTIDARIA" type="list">
      <formula1>"INTENCION_CANDIDATO,SIMPATIA_PARTIDARIA"</formula1>
    </dataValidation>
    <dataValidation sqref="E4:E200" showDropDown="0" showInputMessage="0" showErrorMessage="0" allowBlank="0" type="list">
      <formula1>"NACIONAL,PROVINCIAL"</formula1>
    </dataValidation>
    <dataValidation sqref="I4:I200" showDropDown="0" showInputMessage="0" showErrorMessage="0" allowBlank="0" type="list">
      <formula1>"A+,A,B,C,D"</formula1>
    </dataValidation>
    <dataValidation sqref="J4:O200" showDropDown="0" showInputMessage="0" showErrorMessage="1" allowBlank="0" errorTitle="Porcentaje inválido" error="Ingrese un valor entre 0 y 100" type="decimal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0" customWidth="1" min="4" max="4"/>
  </cols>
  <sheetData>
    <row r="1" ht="24" customHeight="1">
      <c r="A1" s="14" t="inlineStr">
        <is>
          <t>Catálogo de Provincias RD — IDs para encuestas provinciales</t>
        </is>
      </c>
    </row>
    <row r="2">
      <c r="A2" s="3" t="inlineStr">
        <is>
          <t>ID (2 dígitos)</t>
        </is>
      </c>
      <c r="B2" s="3" t="inlineStr">
        <is>
          <t>Provincia</t>
        </is>
      </c>
      <c r="C2" s="3" t="inlineStr">
        <is>
          <t>Región</t>
        </is>
      </c>
      <c r="D2" s="3" t="inlineStr">
        <is>
          <t>Inscritos 2024 (ref)</t>
        </is>
      </c>
    </row>
    <row r="3">
      <c r="A3" s="9" t="inlineStr">
        <is>
          <t>01</t>
        </is>
      </c>
      <c r="B3" s="9" t="inlineStr">
        <is>
          <t>Distrito Nacional</t>
        </is>
      </c>
      <c r="C3" s="9" t="inlineStr">
        <is>
          <t>Ozama</t>
        </is>
      </c>
      <c r="D3" s="9" t="n">
        <v>794080</v>
      </c>
    </row>
    <row r="4">
      <c r="A4" s="4" t="inlineStr">
        <is>
          <t>02</t>
        </is>
      </c>
      <c r="B4" s="4" t="inlineStr">
        <is>
          <t>Azua</t>
        </is>
      </c>
      <c r="C4" s="4" t="inlineStr">
        <is>
          <t>El Valle</t>
        </is>
      </c>
      <c r="D4" s="4" t="n">
        <v>157000</v>
      </c>
    </row>
    <row r="5">
      <c r="A5" s="9" t="inlineStr">
        <is>
          <t>03</t>
        </is>
      </c>
      <c r="B5" s="9" t="inlineStr">
        <is>
          <t>Bahoruco</t>
        </is>
      </c>
      <c r="C5" s="9" t="inlineStr">
        <is>
          <t>Enriquillo</t>
        </is>
      </c>
      <c r="D5" s="9" t="n">
        <v>107000</v>
      </c>
    </row>
    <row r="6">
      <c r="A6" s="4" t="inlineStr">
        <is>
          <t>04</t>
        </is>
      </c>
      <c r="B6" s="4" t="inlineStr">
        <is>
          <t>Barahona</t>
        </is>
      </c>
      <c r="C6" s="4" t="inlineStr">
        <is>
          <t>Enriquillo</t>
        </is>
      </c>
      <c r="D6" s="4" t="n">
        <v>191000</v>
      </c>
    </row>
    <row r="7">
      <c r="A7" s="9" t="inlineStr">
        <is>
          <t>05</t>
        </is>
      </c>
      <c r="B7" s="9" t="inlineStr">
        <is>
          <t>Dajabón</t>
        </is>
      </c>
      <c r="C7" s="9" t="inlineStr">
        <is>
          <t>Cibao Noroeste</t>
        </is>
      </c>
      <c r="D7" s="9" t="n">
        <v>72000</v>
      </c>
    </row>
    <row r="8">
      <c r="A8" s="4" t="inlineStr">
        <is>
          <t>06</t>
        </is>
      </c>
      <c r="B8" s="4" t="inlineStr">
        <is>
          <t>Duarte</t>
        </is>
      </c>
      <c r="C8" s="4" t="inlineStr">
        <is>
          <t>Cibao Nordeste</t>
        </is>
      </c>
      <c r="D8" s="4" t="n">
        <v>298000</v>
      </c>
    </row>
    <row r="9">
      <c r="A9" s="9" t="inlineStr">
        <is>
          <t>07</t>
        </is>
      </c>
      <c r="B9" s="9" t="inlineStr">
        <is>
          <t>Elías Piña</t>
        </is>
      </c>
      <c r="C9" s="9" t="inlineStr">
        <is>
          <t>El Valle</t>
        </is>
      </c>
      <c r="D9" s="9" t="n">
        <v>72000</v>
      </c>
    </row>
    <row r="10">
      <c r="A10" s="4" t="inlineStr">
        <is>
          <t>08</t>
        </is>
      </c>
      <c r="B10" s="4" t="inlineStr">
        <is>
          <t>El Seibo</t>
        </is>
      </c>
      <c r="C10" s="4" t="inlineStr">
        <is>
          <t>Este</t>
        </is>
      </c>
      <c r="D10" s="4" t="n">
        <v>102000</v>
      </c>
    </row>
    <row r="11">
      <c r="A11" s="9" t="inlineStr">
        <is>
          <t>09</t>
        </is>
      </c>
      <c r="B11" s="9" t="inlineStr">
        <is>
          <t>Espaillat</t>
        </is>
      </c>
      <c r="C11" s="9" t="inlineStr">
        <is>
          <t>Cibao Norte</t>
        </is>
      </c>
      <c r="D11" s="9" t="n">
        <v>242000</v>
      </c>
    </row>
    <row r="12">
      <c r="A12" s="4" t="inlineStr">
        <is>
          <t>10</t>
        </is>
      </c>
      <c r="B12" s="4" t="inlineStr">
        <is>
          <t>Hato Mayor</t>
        </is>
      </c>
      <c r="C12" s="4" t="inlineStr">
        <is>
          <t>Este</t>
        </is>
      </c>
      <c r="D12" s="4" t="n">
        <v>86000</v>
      </c>
    </row>
    <row r="13">
      <c r="A13" s="9" t="inlineStr">
        <is>
          <t>11</t>
        </is>
      </c>
      <c r="B13" s="9" t="inlineStr">
        <is>
          <t>Independencia</t>
        </is>
      </c>
      <c r="C13" s="9" t="inlineStr">
        <is>
          <t>Enriquillo</t>
        </is>
      </c>
      <c r="D13" s="9" t="n">
        <v>63000</v>
      </c>
    </row>
    <row r="14">
      <c r="A14" s="4" t="inlineStr">
        <is>
          <t>12</t>
        </is>
      </c>
      <c r="B14" s="4" t="inlineStr">
        <is>
          <t>La Altagracia</t>
        </is>
      </c>
      <c r="C14" s="4" t="inlineStr">
        <is>
          <t>Este</t>
        </is>
      </c>
      <c r="D14" s="4" t="n">
        <v>253000</v>
      </c>
    </row>
    <row r="15">
      <c r="A15" s="9" t="inlineStr">
        <is>
          <t>13</t>
        </is>
      </c>
      <c r="B15" s="9" t="inlineStr">
        <is>
          <t>La Romana</t>
        </is>
      </c>
      <c r="C15" s="9" t="inlineStr">
        <is>
          <t>Este</t>
        </is>
      </c>
      <c r="D15" s="9" t="n">
        <v>271000</v>
      </c>
    </row>
    <row r="16">
      <c r="A16" s="4" t="inlineStr">
        <is>
          <t>14</t>
        </is>
      </c>
      <c r="B16" s="4" t="inlineStr">
        <is>
          <t>La Vega</t>
        </is>
      </c>
      <c r="C16" s="4" t="inlineStr">
        <is>
          <t>Cibao Sur</t>
        </is>
      </c>
      <c r="D16" s="4" t="n">
        <v>413000</v>
      </c>
    </row>
    <row r="17">
      <c r="A17" s="9" t="inlineStr">
        <is>
          <t>15</t>
        </is>
      </c>
      <c r="B17" s="9" t="inlineStr">
        <is>
          <t>María Trinidad Sánchez</t>
        </is>
      </c>
      <c r="C17" s="9" t="inlineStr">
        <is>
          <t>Cibao Nordeste</t>
        </is>
      </c>
      <c r="D17" s="9" t="n">
        <v>147000</v>
      </c>
    </row>
    <row r="18">
      <c r="A18" s="4" t="inlineStr">
        <is>
          <t>16</t>
        </is>
      </c>
      <c r="B18" s="4" t="inlineStr">
        <is>
          <t>Monseñor Nouel</t>
        </is>
      </c>
      <c r="C18" s="4" t="inlineStr">
        <is>
          <t>Cibao Sur</t>
        </is>
      </c>
      <c r="D18" s="4" t="n">
        <v>189000</v>
      </c>
    </row>
    <row r="19">
      <c r="A19" s="9" t="inlineStr">
        <is>
          <t>17</t>
        </is>
      </c>
      <c r="B19" s="9" t="inlineStr">
        <is>
          <t>Monte Cristi</t>
        </is>
      </c>
      <c r="C19" s="9" t="inlineStr">
        <is>
          <t>Cibao Noroeste</t>
        </is>
      </c>
      <c r="D19" s="9" t="n">
        <v>120000</v>
      </c>
    </row>
    <row r="20">
      <c r="A20" s="4" t="inlineStr">
        <is>
          <t>18</t>
        </is>
      </c>
      <c r="B20" s="4" t="inlineStr">
        <is>
          <t>Monte Plata</t>
        </is>
      </c>
      <c r="C20" s="4" t="inlineStr">
        <is>
          <t>Ozama</t>
        </is>
      </c>
      <c r="D20" s="4" t="n">
        <v>185000</v>
      </c>
    </row>
    <row r="21">
      <c r="A21" s="9" t="inlineStr">
        <is>
          <t>19</t>
        </is>
      </c>
      <c r="B21" s="9" t="inlineStr">
        <is>
          <t>Pedernales</t>
        </is>
      </c>
      <c r="C21" s="9" t="inlineStr">
        <is>
          <t>Enriquillo</t>
        </is>
      </c>
      <c r="D21" s="9" t="n">
        <v>33000</v>
      </c>
    </row>
    <row r="22">
      <c r="A22" s="4" t="inlineStr">
        <is>
          <t>20</t>
        </is>
      </c>
      <c r="B22" s="4" t="inlineStr">
        <is>
          <t>Peravia</t>
        </is>
      </c>
      <c r="C22" s="4" t="inlineStr">
        <is>
          <t>Valdesia</t>
        </is>
      </c>
      <c r="D22" s="4" t="n">
        <v>179000</v>
      </c>
    </row>
    <row r="23">
      <c r="A23" s="9" t="inlineStr">
        <is>
          <t>21</t>
        </is>
      </c>
      <c r="B23" s="9" t="inlineStr">
        <is>
          <t>Puerto Plata</t>
        </is>
      </c>
      <c r="C23" s="9" t="inlineStr">
        <is>
          <t>Cibao Norte</t>
        </is>
      </c>
      <c r="D23" s="9" t="n">
        <v>319000</v>
      </c>
    </row>
    <row r="24">
      <c r="A24" s="4" t="inlineStr">
        <is>
          <t>22</t>
        </is>
      </c>
      <c r="B24" s="4" t="inlineStr">
        <is>
          <t>Samaná</t>
        </is>
      </c>
      <c r="C24" s="4" t="inlineStr">
        <is>
          <t>Cibao Nordeste</t>
        </is>
      </c>
      <c r="D24" s="4" t="n">
        <v>101000</v>
      </c>
    </row>
    <row r="25">
      <c r="A25" s="9" t="inlineStr">
        <is>
          <t>23</t>
        </is>
      </c>
      <c r="B25" s="9" t="inlineStr">
        <is>
          <t>San Cristóbal</t>
        </is>
      </c>
      <c r="C25" s="9" t="inlineStr">
        <is>
          <t>Valdesia</t>
        </is>
      </c>
      <c r="D25" s="9" t="n">
        <v>588000</v>
      </c>
    </row>
    <row r="26">
      <c r="A26" s="4" t="inlineStr">
        <is>
          <t>24</t>
        </is>
      </c>
      <c r="B26" s="4" t="inlineStr">
        <is>
          <t>San Juan</t>
        </is>
      </c>
      <c r="C26" s="4" t="inlineStr">
        <is>
          <t>El Valle</t>
        </is>
      </c>
      <c r="D26" s="4" t="n">
        <v>263000</v>
      </c>
    </row>
    <row r="27">
      <c r="A27" s="9" t="inlineStr">
        <is>
          <t>25</t>
        </is>
      </c>
      <c r="B27" s="9" t="inlineStr">
        <is>
          <t>San Pedro de Macorís</t>
        </is>
      </c>
      <c r="C27" s="9" t="inlineStr">
        <is>
          <t>Este</t>
        </is>
      </c>
      <c r="D27" s="9" t="n">
        <v>327000</v>
      </c>
    </row>
    <row r="28">
      <c r="A28" s="4" t="inlineStr">
        <is>
          <t>26</t>
        </is>
      </c>
      <c r="B28" s="4" t="inlineStr">
        <is>
          <t>Santiago</t>
        </is>
      </c>
      <c r="C28" s="4" t="inlineStr">
        <is>
          <t>Cibao Norte</t>
        </is>
      </c>
      <c r="D28" s="4" t="n">
        <v>924000</v>
      </c>
    </row>
    <row r="29">
      <c r="A29" s="9" t="inlineStr">
        <is>
          <t>27</t>
        </is>
      </c>
      <c r="B29" s="9" t="inlineStr">
        <is>
          <t>Santiago Rodríguez</t>
        </is>
      </c>
      <c r="C29" s="9" t="inlineStr">
        <is>
          <t>Cibao Noroeste</t>
        </is>
      </c>
      <c r="D29" s="9" t="n">
        <v>61000</v>
      </c>
    </row>
    <row r="30">
      <c r="A30" s="4" t="inlineStr">
        <is>
          <t>28</t>
        </is>
      </c>
      <c r="B30" s="4" t="inlineStr">
        <is>
          <t>Valverde</t>
        </is>
      </c>
      <c r="C30" s="4" t="inlineStr">
        <is>
          <t>Cibao Noroeste</t>
        </is>
      </c>
      <c r="D30" s="4" t="n">
        <v>146000</v>
      </c>
    </row>
    <row r="31">
      <c r="A31" s="9" t="inlineStr">
        <is>
          <t>29</t>
        </is>
      </c>
      <c r="B31" s="9" t="inlineStr">
        <is>
          <t>Montecristi (Hato Mayor)</t>
        </is>
      </c>
      <c r="C31" s="9" t="inlineStr">
        <is>
          <t>Este</t>
        </is>
      </c>
      <c r="D31" s="9" t="n">
        <v>86000</v>
      </c>
    </row>
    <row r="32">
      <c r="A32" s="4" t="inlineStr">
        <is>
          <t>30</t>
        </is>
      </c>
      <c r="B32" s="4" t="inlineStr">
        <is>
          <t>Santo Domingo</t>
        </is>
      </c>
      <c r="C32" s="4" t="inlineStr">
        <is>
          <t>Ozama</t>
        </is>
      </c>
      <c r="D32" s="4" t="n">
        <v>1681000</v>
      </c>
    </row>
    <row r="33">
      <c r="A33" s="9" t="inlineStr">
        <is>
          <t>31</t>
        </is>
      </c>
      <c r="B33" s="9" t="inlineStr">
        <is>
          <t>Sánchez Ramírez</t>
        </is>
      </c>
      <c r="C33" s="9" t="inlineStr">
        <is>
          <t>Cibao Sur</t>
        </is>
      </c>
      <c r="D33" s="9" t="n">
        <v>161000</v>
      </c>
    </row>
    <row r="34">
      <c r="A34" s="4" t="inlineStr">
        <is>
          <t>32</t>
        </is>
      </c>
      <c r="B34" s="4" t="inlineStr">
        <is>
          <t>San José de Ocoa</t>
        </is>
      </c>
      <c r="C34" s="4" t="inlineStr">
        <is>
          <t>Valdesia</t>
        </is>
      </c>
      <c r="D34" s="4" t="n">
        <v>74000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6" customWidth="1" min="4" max="4"/>
    <col width="30" customWidth="1" min="5" max="5"/>
  </cols>
  <sheetData>
    <row r="1" ht="24" customHeight="1">
      <c r="A1" s="14" t="inlineStr">
        <is>
          <t>Catálogo de Firmas Encuestadoras — Calidades sugeridas</t>
        </is>
      </c>
    </row>
    <row r="2">
      <c r="A2" s="3" t="inlineStr">
        <is>
          <t>Firma</t>
        </is>
      </c>
      <c r="B2" s="3" t="inlineStr">
        <is>
          <t>País</t>
        </is>
      </c>
      <c r="C2" s="3" t="inlineStr">
        <is>
          <t>Calidad Sugerida</t>
        </is>
      </c>
      <c r="D2" s="3" t="inlineStr">
        <is>
          <t>Metodología típica</t>
        </is>
      </c>
      <c r="E2" s="3" t="inlineStr">
        <is>
          <t>Notas</t>
        </is>
      </c>
    </row>
    <row r="3">
      <c r="A3" s="9" t="inlineStr">
        <is>
          <t>Gallup RD</t>
        </is>
      </c>
      <c r="B3" s="9" t="inlineStr">
        <is>
          <t>RD</t>
        </is>
      </c>
      <c r="C3" s="15" t="inlineStr">
        <is>
          <t>A</t>
        </is>
      </c>
      <c r="D3" s="9" t="inlineStr">
        <is>
          <t>Telefónica / Cara a cara</t>
        </is>
      </c>
      <c r="E3" s="9" t="inlineStr">
        <is>
          <t>Referencia histórica RD</t>
        </is>
      </c>
    </row>
    <row r="4">
      <c r="A4" s="4" t="inlineStr">
        <is>
          <t>CID-Gallup</t>
        </is>
      </c>
      <c r="B4" s="4" t="inlineStr">
        <is>
          <t>Costa Rica/RD</t>
        </is>
      </c>
      <c r="C4" s="16" t="inlineStr">
        <is>
          <t>A</t>
        </is>
      </c>
      <c r="D4" s="4" t="inlineStr">
        <is>
          <t>Cara a cara multietapa</t>
        </is>
      </c>
      <c r="E4" s="4" t="inlineStr">
        <is>
          <t>Mayor cobertura regional LAC</t>
        </is>
      </c>
    </row>
    <row r="5">
      <c r="A5" s="9" t="inlineStr">
        <is>
          <t>Sigma Dos RD</t>
        </is>
      </c>
      <c r="B5" s="9" t="inlineStr">
        <is>
          <t>RD</t>
        </is>
      </c>
      <c r="C5" s="15" t="inlineStr">
        <is>
          <t>A</t>
        </is>
      </c>
      <c r="D5" s="9" t="inlineStr">
        <is>
          <t>Telefónica CATI</t>
        </is>
      </c>
      <c r="E5" s="9" t="inlineStr">
        <is>
          <t>Especialista mercado RD</t>
        </is>
      </c>
    </row>
    <row r="6">
      <c r="A6" s="4" t="inlineStr">
        <is>
          <t>Penn Schoen Berland</t>
        </is>
      </c>
      <c r="B6" s="4" t="inlineStr">
        <is>
          <t>USA/RD</t>
        </is>
      </c>
      <c r="C6" s="16" t="inlineStr">
        <is>
          <t>A+</t>
        </is>
      </c>
      <c r="D6" s="4" t="inlineStr">
        <is>
          <t>Panel online + telefónico</t>
        </is>
      </c>
      <c r="E6" s="4" t="inlineStr">
        <is>
          <t>Firma internacional</t>
        </is>
      </c>
    </row>
    <row r="7">
      <c r="A7" s="9" t="inlineStr">
        <is>
          <t>Greenberg Quinlan</t>
        </is>
      </c>
      <c r="B7" s="9" t="inlineStr">
        <is>
          <t>USA/RD</t>
        </is>
      </c>
      <c r="C7" s="15" t="inlineStr">
        <is>
          <t>A+</t>
        </is>
      </c>
      <c r="D7" s="9" t="inlineStr">
        <is>
          <t>Panel online</t>
        </is>
      </c>
      <c r="E7" s="9" t="inlineStr">
        <is>
          <t>Firma política internacional</t>
        </is>
      </c>
    </row>
    <row r="8">
      <c r="A8" s="4" t="inlineStr">
        <is>
          <t>Newlink Politics</t>
        </is>
      </c>
      <c r="B8" s="4" t="inlineStr">
        <is>
          <t>RD</t>
        </is>
      </c>
      <c r="C8" s="17" t="inlineStr">
        <is>
          <t>B</t>
        </is>
      </c>
      <c r="D8" s="4" t="inlineStr">
        <is>
          <t>Online + telefónico</t>
        </is>
      </c>
      <c r="E8" s="4" t="inlineStr">
        <is>
          <t>Emergente RD</t>
        </is>
      </c>
    </row>
    <row r="9">
      <c r="A9" s="9" t="inlineStr">
        <is>
          <t>El Caribe/Datum</t>
        </is>
      </c>
      <c r="B9" s="9" t="inlineStr">
        <is>
          <t>RD</t>
        </is>
      </c>
      <c r="C9" s="18" t="inlineStr">
        <is>
          <t>B</t>
        </is>
      </c>
      <c r="D9" s="9" t="inlineStr">
        <is>
          <t>Cara a cara</t>
        </is>
      </c>
      <c r="E9" s="9" t="inlineStr">
        <is>
          <t>Sondeo medios</t>
        </is>
      </c>
    </row>
    <row r="10">
      <c r="A10" s="4" t="inlineStr">
        <is>
          <t>Listín/Propia</t>
        </is>
      </c>
      <c r="B10" s="4" t="inlineStr">
        <is>
          <t>RD</t>
        </is>
      </c>
      <c r="C10" s="19" t="inlineStr">
        <is>
          <t>C</t>
        </is>
      </c>
      <c r="D10" s="4" t="inlineStr">
        <is>
          <t>No especificada</t>
        </is>
      </c>
      <c r="E10" s="4" t="inlineStr">
        <is>
          <t>Encuesta de medios</t>
        </is>
      </c>
    </row>
    <row r="11">
      <c r="A11" s="9" t="inlineStr">
        <is>
          <t>Interna campaña</t>
        </is>
      </c>
      <c r="B11" s="9" t="inlineStr">
        <is>
          <t>RD</t>
        </is>
      </c>
      <c r="C11" s="20" t="inlineStr">
        <is>
          <t>C</t>
        </is>
      </c>
      <c r="D11" s="9" t="inlineStr">
        <is>
          <t>Telefónica interna</t>
        </is>
      </c>
      <c r="E11" s="9" t="inlineStr">
        <is>
          <t>Solo orientativa — sesgo propio</t>
        </is>
      </c>
    </row>
    <row r="12">
      <c r="A12" s="4" t="inlineStr">
        <is>
          <t>Universidad INTEC</t>
        </is>
      </c>
      <c r="B12" s="4" t="inlineStr">
        <is>
          <t>RD</t>
        </is>
      </c>
      <c r="C12" s="17" t="inlineStr">
        <is>
          <t>B</t>
        </is>
      </c>
      <c r="D12" s="4" t="inlineStr">
        <is>
          <t>Académica mixta</t>
        </is>
      </c>
      <c r="E12" s="4" t="inlineStr">
        <is>
          <t>Rigurosa pero menor 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6" customHeight="1">
      <c r="A1" s="21" t="inlineStr">
        <is>
          <t>Guía de uso y exportación a JSON para SIE 2028</t>
        </is>
      </c>
    </row>
    <row r="2" ht="15" customHeight="1">
      <c r="A2" s="22" t="inlineStr"/>
      <c r="B2" s="13" t="inlineStr"/>
    </row>
    <row r="3" ht="18" customHeight="1">
      <c r="A3" s="23" t="inlineStr">
        <is>
          <t>PASO 1 — REGISTRAR ENCUESTAS</t>
        </is>
      </c>
    </row>
    <row r="4" ht="15" customHeight="1">
      <c r="A4" s="22" t="inlineStr">
        <is>
          <t>1.1</t>
        </is>
      </c>
      <c r="B4" s="13" t="inlineStr">
        <is>
          <t>Ir a la hoja "Encuestas" y completar cada fila con los datos de la encuesta.</t>
        </is>
      </c>
    </row>
    <row r="5" ht="15" customHeight="1">
      <c r="A5" s="24" t="inlineStr">
        <is>
          <t>1.2</t>
        </is>
      </c>
      <c r="B5" s="8" t="inlineStr">
        <is>
          <t>El campo "Tipo de Dato" es CRÍTICO: usar INTENCION_CANDIDATO para la pregunta "¿Por quién votaría para presidente?" y SIMPATIA_PARTIDARIA para "¿Con qué partido simpatiza?".</t>
        </is>
      </c>
    </row>
    <row r="6" ht="15" customHeight="1">
      <c r="A6" s="22" t="inlineStr">
        <is>
          <t>1.3</t>
        </is>
      </c>
      <c r="B6" s="13" t="inlineStr">
        <is>
          <t>Las encuestas con diferencia entre candidato y simpatía revelan el efecto de voto útil (Duverger 1954) — FP simpatía mayor que FP candidato significa que hay votantes que apoyan a FP pero dudan de su viabilidad electoral.</t>
        </is>
      </c>
    </row>
    <row r="7" ht="15" customHeight="1">
      <c r="A7" s="24" t="inlineStr">
        <is>
          <t>1.4</t>
        </is>
      </c>
      <c r="B7" s="8" t="inlineStr">
        <is>
          <t>Para encuestas provinciales, obligatorio completar las columnas F (Provincia) y G (Prov ID de 2 dígitos). Consultar hoja "Provincias_Ref" para los IDs.</t>
        </is>
      </c>
    </row>
    <row r="8" ht="15" customHeight="1">
      <c r="A8" s="22" t="inlineStr">
        <is>
          <t>1.5</t>
        </is>
      </c>
      <c r="B8" s="13" t="inlineStr">
        <is>
          <t>Verificar que la columna "Suma (auto)" dé ~100%. Si aparece "⚠️ Revisar" hay un error.</t>
        </is>
      </c>
    </row>
    <row r="9" ht="15" customHeight="1">
      <c r="A9" s="24" t="inlineStr"/>
      <c r="B9" s="8" t="inlineStr"/>
    </row>
    <row r="10" ht="18" customHeight="1">
      <c r="A10" s="23" t="inlineStr">
        <is>
          <t>PASO 2 — EXPORTAR A JSON</t>
        </is>
      </c>
    </row>
    <row r="11" ht="15" customHeight="1">
      <c r="A11" s="24" t="inlineStr">
        <is>
          <t>2.1</t>
        </is>
      </c>
      <c r="B11" s="8" t="inlineStr">
        <is>
          <t>Guardar el archivo Excel. Abrir terminal en la carpeta del SIE 2028.</t>
        </is>
      </c>
    </row>
    <row r="12" ht="15" customHeight="1">
      <c r="A12" s="22" t="inlineStr">
        <is>
          <t>2.2</t>
        </is>
      </c>
      <c r="B12" s="13" t="inlineStr">
        <is>
          <t>Ejecutar el script de conversión incluido en el ZIP:</t>
        </is>
      </c>
    </row>
    <row r="13" ht="15" customHeight="1">
      <c r="A13" s="24" t="inlineStr"/>
      <c r="B13" s="8" t="inlineStr">
        <is>
          <t xml:space="preserve">   python3 convertir_encuestas.py</t>
        </is>
      </c>
    </row>
    <row r="14" ht="15" customHeight="1">
      <c r="A14" s="22" t="inlineStr">
        <is>
          <t>2.3</t>
        </is>
      </c>
      <c r="B14" s="13" t="inlineStr">
        <is>
          <t>Esto genera el archivo: data/encuestas_sie2028.json</t>
        </is>
      </c>
    </row>
    <row r="15" ht="15" customHeight="1">
      <c r="A15" s="24" t="inlineStr"/>
      <c r="B15" s="8" t="inlineStr"/>
    </row>
    <row r="16" ht="18" customHeight="1">
      <c r="A16" s="23" t="inlineStr">
        <is>
          <t>PASO 3 — CARGAR EN EL SISTEMA</t>
        </is>
      </c>
    </row>
    <row r="17" ht="15" customHeight="1">
      <c r="A17" s="24" t="inlineStr">
        <is>
          <t>3.1</t>
        </is>
      </c>
      <c r="B17" s="8" t="inlineStr">
        <is>
          <t>Opción A (automática): El sistema detecta el archivo JSON en la carpeta data/ al arrancar.</t>
        </is>
      </c>
    </row>
    <row r="18" ht="15" customHeight="1">
      <c r="A18" s="22" t="inlineStr">
        <is>
          <t>3.2</t>
        </is>
      </c>
      <c r="B18" s="13" t="inlineStr">
        <is>
          <t>Opción B (manual): En la vista "Encuestas" del SIE, usar el botón "Cargar JSON" y seleccionar el archivo generado.</t>
        </is>
      </c>
    </row>
    <row r="19" ht="15" customHeight="1">
      <c r="A19" s="24" t="inlineStr">
        <is>
          <t>3.3</t>
        </is>
      </c>
      <c r="B19" s="8" t="inlineStr">
        <is>
          <t>Al cargar, el pipeline se re-ejecuta automáticamente y TODAS las vistas se actualizan.</t>
        </is>
      </c>
    </row>
    <row r="20" ht="15" customHeight="1">
      <c r="A20" s="22" t="inlineStr"/>
      <c r="B20" s="13" t="inlineStr"/>
    </row>
    <row r="21" ht="18" customHeight="1">
      <c r="A21" s="25" t="inlineStr">
        <is>
          <t>CÓMO AFECTAN LAS ENCUESTAS A CADA VISTA</t>
        </is>
      </c>
    </row>
    <row r="22" ht="15" customHeight="1">
      <c r="A22" s="22" t="inlineStr">
        <is>
          <t>Dashboard</t>
        </is>
      </c>
      <c r="B22" s="13" t="inlineStr">
        <is>
          <t>Meta Electoral recalcula el gap con proyección calibrada por encuestas</t>
        </is>
      </c>
    </row>
    <row r="23" ht="15" customHeight="1">
      <c r="A23" s="24" t="inlineStr">
        <is>
          <t>Proyección 2028</t>
        </is>
      </c>
      <c r="B23" s="8" t="inlineStr">
        <is>
          <t>INTENCION_CANDIDATO entra como Bayesian update: resultado = Fundamentals×60% + Encuesta×40%</t>
        </is>
      </c>
    </row>
    <row r="24" ht="15" customHeight="1">
      <c r="A24" s="22" t="inlineStr">
        <is>
          <t>Legislativo</t>
        </is>
      </c>
      <c r="B24" s="13" t="inlineStr">
        <is>
          <t>SIMPATIA_PARTIDARIA se usa para proyectar curules (senadores y diputados)</t>
        </is>
      </c>
    </row>
    <row r="25" ht="15" customHeight="1">
      <c r="A25" s="24" t="inlineStr">
        <is>
          <t>Simulador</t>
        </is>
      </c>
      <c r="B25" s="8" t="inlineStr">
        <is>
          <t>Las encuestas pre-cargan los sliders con valores reales, no los defaults</t>
        </is>
      </c>
    </row>
    <row r="26" ht="15" customHeight="1">
      <c r="A26" s="22" t="inlineStr">
        <is>
          <t>Alianzas</t>
        </is>
      </c>
      <c r="B26" s="13" t="inlineStr">
        <is>
          <t>La simpatía partidaria calibra cuánto voto PLD es realmente transferible</t>
        </is>
      </c>
    </row>
    <row r="27" ht="15" customHeight="1">
      <c r="A27" s="24" t="inlineStr">
        <is>
          <t>Sensibilidad</t>
        </is>
      </c>
      <c r="B27" s="8" t="inlineStr">
        <is>
          <t>El ranking de palancas se actualiza con los datos reales de la encuesta</t>
        </is>
      </c>
    </row>
    <row r="28" ht="15" customHeight="1">
      <c r="A28" s="22" t="inlineStr"/>
      <c r="B28" s="13" t="inlineStr"/>
    </row>
    <row r="29" ht="18" customHeight="1">
      <c r="A29" s="26" t="inlineStr">
        <is>
          <t>CALIDADES DE ENCUESTA</t>
        </is>
      </c>
    </row>
    <row r="30" ht="15" customHeight="1">
      <c r="A30" s="22" t="inlineStr">
        <is>
          <t>A+ (peso 1.00)</t>
        </is>
      </c>
      <c r="B30" s="13" t="inlineStr">
        <is>
          <t>Firma internacional, metodología rigurosa, n ≥ 1000, probabilística</t>
        </is>
      </c>
    </row>
    <row r="31" ht="15" customHeight="1">
      <c r="A31" s="24" t="inlineStr">
        <is>
          <t>A  (peso 0.85)</t>
        </is>
      </c>
      <c r="B31" s="8" t="inlineStr">
        <is>
          <t>Firma reconocida RD, metodología clara, n ≥ 800</t>
        </is>
      </c>
    </row>
    <row r="32" ht="15" customHeight="1">
      <c r="A32" s="22" t="inlineStr">
        <is>
          <t>B  (peso 0.65)</t>
        </is>
      </c>
      <c r="B32" s="13" t="inlineStr">
        <is>
          <t>Firma mediana, metodología aceptable, n ≥ 500</t>
        </is>
      </c>
    </row>
    <row r="33" ht="15" customHeight="1">
      <c r="A33" s="24" t="inlineStr">
        <is>
          <t>C  (peso 0.45)</t>
        </is>
      </c>
      <c r="B33" s="8" t="inlineStr">
        <is>
          <t>Firma menor o encuesta interna, n ≥ 300</t>
        </is>
      </c>
    </row>
    <row r="34" ht="15" customHeight="1">
      <c r="A34" s="22" t="inlineStr">
        <is>
          <t>D  (peso 0.25)</t>
        </is>
      </c>
      <c r="B34" s="13" t="inlineStr">
        <is>
          <t>Encuesta de medios, metodología no especificada</t>
        </is>
      </c>
    </row>
    <row r="35" ht="15" customHeight="1">
      <c r="A35" s="24" t="inlineStr"/>
      <c r="B35" s="8" t="inlineStr"/>
    </row>
    <row r="36" ht="18" customHeight="1">
      <c r="A36" s="27" t="inlineStr">
        <is>
          <t>ADVERTENCIA IMPORTANTE</t>
        </is>
      </c>
    </row>
    <row r="37" ht="15" customHeight="1">
      <c r="A37" s="24" t="inlineStr">
        <is>
          <t>⚠️</t>
        </is>
      </c>
      <c r="B37" s="8" t="inlineStr">
        <is>
          <t>Usar SIMPATIA_PARTIDARIA como proxy de INTENCION_CANDIDATO sobreestima el resultado FP entre 2-5pp. El sistema diferencia estos tipos automáticamente. No mezclar.</t>
        </is>
      </c>
    </row>
    <row r="38" ht="15" customHeight="1">
      <c r="A38" s="22" t="inlineStr">
        <is>
          <t>⚠️</t>
        </is>
      </c>
      <c r="B38" s="13" t="inlineStr">
        <is>
          <t>Las encuestas internas de campaña tienen sesgo sistemático de +2 a +4pp para el partido que las encarga. Asignar calidad C o D a estas encuestas.</t>
        </is>
      </c>
    </row>
  </sheetData>
  <mergeCells count="7">
    <mergeCell ref="A21:B21"/>
    <mergeCell ref="A16:B16"/>
    <mergeCell ref="A29:B29"/>
    <mergeCell ref="A10:B10"/>
    <mergeCell ref="A36:B36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2026-03-09T22:47:49Z</dcterms:created>
  <dcterms:modified xmlns:dcterms="http://purl.org/dc/terms/" xmlns:xsi="http://www.w3.org/2001/XMLSchema-instance" xsi:type="dcterms:W3CDTF">2026-03-09T22:47:49Z</dcterms:modified>
</cp:coreProperties>
</file>